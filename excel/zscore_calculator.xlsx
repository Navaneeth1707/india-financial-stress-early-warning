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files\projects resume 1234567890\india_financial_stress\05_excel\"/>
    </mc:Choice>
  </mc:AlternateContent>
  <xr:revisionPtr revIDLastSave="0" documentId="13_ncr:1_{EEFAF013-6956-4B21-940C-90BC6EA01126}" xr6:coauthVersionLast="47" xr6:coauthVersionMax="47" xr10:uidLastSave="{00000000-0000-0000-0000-000000000000}"/>
  <bookViews>
    <workbookView xWindow="-108" yWindow="-108" windowWidth="23256" windowHeight="13176" xr2:uid="{C325592E-5458-41BC-94B7-A87244AFBF53}"/>
  </bookViews>
  <sheets>
    <sheet name="Z-Score Calculator" sheetId="1" r:id="rId1"/>
    <sheet name="Ratio Scorecard" sheetId="3" r:id="rId2"/>
    <sheet name="Sector Summ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3" i="1"/>
  <c r="B24" i="1"/>
  <c r="B25" i="1"/>
  <c r="B26" i="1"/>
  <c r="B28" i="1"/>
  <c r="B30" i="1" s="1"/>
</calcChain>
</file>

<file path=xl/sharedStrings.xml><?xml version="1.0" encoding="utf-8"?>
<sst xmlns="http://schemas.openxmlformats.org/spreadsheetml/2006/main" count="84" uniqueCount="75">
  <si>
    <t>A1: INDIA FINANCIAL STRESS - ALTMAN Z-SCORE CALCULATOR</t>
  </si>
  <si>
    <t>COMPANY INPUTS</t>
  </si>
  <si>
    <t>Company Name</t>
  </si>
  <si>
    <t>Sector</t>
  </si>
  <si>
    <t>Year</t>
  </si>
  <si>
    <t>BALANCE SHEET INPUTS (in Crores)</t>
  </si>
  <si>
    <t>Total Assets</t>
  </si>
  <si>
    <t>Current Assets (Cash &amp; Bank)</t>
  </si>
  <si>
    <t>Current Liabilities (Other Liabilities)</t>
  </si>
  <si>
    <t>Total Equity (Equity Capital + Reserves)</t>
  </si>
  <si>
    <t>Total Borrowings</t>
  </si>
  <si>
    <t>Retained Earnings (Reserves)</t>
  </si>
  <si>
    <t>Market Capitalization</t>
  </si>
  <si>
    <t>P&amp;L INPUTS (in Crores)</t>
  </si>
  <si>
    <t>Revenue (Sales)</t>
  </si>
  <si>
    <t>EBIT (Profit Before Tax + Interest)</t>
  </si>
  <si>
    <t xml:space="preserve">Z-SCORE CALCULATION </t>
  </si>
  <si>
    <t xml:space="preserve">X1 - Working Capital / Total Assets </t>
  </si>
  <si>
    <t xml:space="preserve">X3 - EBIT / Total Assets </t>
  </si>
  <si>
    <t>X5 - Revenue / Total Assets</t>
  </si>
  <si>
    <t>X4 - Market Cap / Total Borrowings</t>
  </si>
  <si>
    <t xml:space="preserve">X2 - Retained Earnings / Total Assets </t>
  </si>
  <si>
    <t>ALTMAN Z-SCORE</t>
  </si>
  <si>
    <t>RISK CLASSIFICATION</t>
  </si>
  <si>
    <t>HDFC Bank</t>
  </si>
  <si>
    <t>Banking</t>
  </si>
  <si>
    <t>FINANCIAL RATIO SCORECARD — SECTOR COMPARISON</t>
  </si>
  <si>
    <t>Ratio</t>
  </si>
  <si>
    <t>Energy</t>
  </si>
  <si>
    <t>FMCG</t>
  </si>
  <si>
    <t>IT</t>
  </si>
  <si>
    <t>Pharma</t>
  </si>
  <si>
    <t>Benchmark</t>
  </si>
  <si>
    <t xml:space="preserve">Average ROE % </t>
  </si>
  <si>
    <t xml:space="preserve">Avg Debt/Equity </t>
  </si>
  <si>
    <t>Avg Net Margin %</t>
  </si>
  <si>
    <t xml:space="preserve">Avg Z-Score </t>
  </si>
  <si>
    <t>Interest Coverage</t>
  </si>
  <si>
    <t xml:space="preserve">Asset Turnover </t>
  </si>
  <si>
    <t>Revenue Growth %</t>
  </si>
  <si>
    <t>&gt;15% is strong</t>
  </si>
  <si>
    <t>&lt;1 is safe</t>
  </si>
  <si>
    <t>&gt;15% is healthy</t>
  </si>
  <si>
    <t>&gt;2.99 is safe</t>
  </si>
  <si>
    <t>&gt;2 is comfortable</t>
  </si>
  <si>
    <t>&gt;0.5 is efficient</t>
  </si>
  <si>
    <t>&gt;10% is healthy</t>
  </si>
  <si>
    <t>INDIA CORPORATE FINANCIAL STRESS — SECTOR SUMMARY REPORT</t>
  </si>
  <si>
    <t>Generated from: 50 NSE companies | 10 years | 2016-2026</t>
  </si>
  <si>
    <t>RISK ZONE SUMMARY</t>
  </si>
  <si>
    <t>Total Records</t>
  </si>
  <si>
    <t>Safe</t>
  </si>
  <si>
    <t>Grey Zone</t>
  </si>
  <si>
    <t>Distress</t>
  </si>
  <si>
    <t>Risk Level</t>
  </si>
  <si>
    <t>HIGH RISK 🔴</t>
  </si>
  <si>
    <t>MODERATE ⚠️</t>
  </si>
  <si>
    <t>LOW RISK ✅</t>
  </si>
  <si>
    <t>KEY FINDINGS</t>
  </si>
  <si>
    <t>1. Banking sector shows 90% distress signals due to high leverage model</t>
  </si>
  <si>
    <t>2. FMCG and IT sectors are most financially healthy (85%+ safe)</t>
  </si>
  <si>
    <t>3. Energy sector is most volatile — affected by commodity prices</t>
  </si>
  <si>
    <t>4. RBI Repo Rate ranked 4th in ML feature importance</t>
  </si>
  <si>
    <t>5. XGBoost achieved 91% accuracy predicting financial distress</t>
  </si>
  <si>
    <t>6. Total Borrowings is the #1 driver of financial distress (24%)</t>
  </si>
  <si>
    <t>ML MODEL PERFORMANCE COMPARISON</t>
  </si>
  <si>
    <t>Model</t>
  </si>
  <si>
    <t>Accuracy</t>
  </si>
  <si>
    <t>Notes</t>
  </si>
  <si>
    <t>Logistic Regression</t>
  </si>
  <si>
    <t>Random Forest</t>
  </si>
  <si>
    <t>XGBoost (Selected)</t>
  </si>
  <si>
    <t>Simple baseline</t>
  </si>
  <si>
    <t>Ensemble method</t>
  </si>
  <si>
    <t>Best accuracy — handles imbalance well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</si>
</sst>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AF3DE"/>
        <bgColor indexed="64"/>
      </patternFill>
    </fill>
    <fill>
      <patternFill patternType="solid">
        <fgColor rgb="FFFCEB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0" xfId="0" applyFont="1" applyFill="1"/>
    <xf numFmtId="2" fontId="0" fillId="4" borderId="1" xfId="0" applyNumberFormat="1" applyFill="1" applyBorder="1" applyAlignment="1"/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3" fillId="2" borderId="1" xfId="0" applyFont="1" applyFill="1" applyBorder="1"/>
    <xf numFmtId="0" fontId="5" fillId="0" borderId="1" xfId="0" applyFont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9" fontId="0" fillId="0" borderId="1" xfId="0" applyNumberFormat="1" applyBorder="1"/>
    <xf numFmtId="0" fontId="0" fillId="0" borderId="6" xfId="0" applyBorder="1"/>
    <xf numFmtId="0" fontId="0" fillId="0" borderId="5" xfId="0" applyBorder="1"/>
    <xf numFmtId="0" fontId="0" fillId="0" borderId="0" xfId="0" applyBorder="1"/>
    <xf numFmtId="0" fontId="3" fillId="2" borderId="3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8" xfId="0" applyBorder="1"/>
    <xf numFmtId="0" fontId="0" fillId="5" borderId="5" xfId="0" applyFill="1" applyBorder="1"/>
    <xf numFmtId="0" fontId="0" fillId="5" borderId="7" xfId="0" applyFill="1" applyBorder="1"/>
    <xf numFmtId="9" fontId="0" fillId="5" borderId="5" xfId="0" applyNumberFormat="1" applyFill="1" applyBorder="1"/>
  </cellXfs>
  <cellStyles count="1">
    <cellStyle name="Normal" xfId="0" builtinId="0"/>
  </cellStyles>
  <dxfs count="3">
    <dxf>
      <fill>
        <patternFill>
          <bgColor rgb="FFEAF3DE"/>
        </patternFill>
      </fill>
    </dxf>
    <dxf>
      <fill>
        <patternFill>
          <bgColor rgb="FFFAEEDA"/>
        </patternFill>
      </fill>
    </dxf>
    <dxf>
      <fill>
        <patternFill>
          <bgColor rgb="FFFCEBEB"/>
        </patternFill>
      </fill>
    </dxf>
  </dxfs>
  <tableStyles count="0" defaultTableStyle="TableStyleMedium2" defaultPivotStyle="PivotStyleLight16"/>
  <colors>
    <mruColors>
      <color rgb="FFEAF3DE"/>
      <color rgb="FF639922"/>
      <color rgb="FFEF9F27"/>
      <color rgb="FFE24B4A"/>
      <color rgb="FFFFFDE7"/>
      <color rgb="FFEBF3FB"/>
      <color rgb="FFFCEBEB"/>
      <color rgb="FF1F3864"/>
      <color rgb="FFFAE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Distribution by Sector</a:t>
            </a:r>
            <a:endParaRPr lang="en-IN"/>
          </a:p>
        </c:rich>
      </c:tx>
      <c:layout>
        <c:manualLayout>
          <c:xMode val="edge"/>
          <c:yMode val="edge"/>
          <c:x val="0.3011111111111111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Safe</c:v>
          </c:tx>
          <c:spPr>
            <a:solidFill>
              <a:srgbClr val="639922"/>
            </a:solidFill>
            <a:ln>
              <a:noFill/>
            </a:ln>
            <a:effectLst/>
          </c:spPr>
          <c:invertIfNegative val="0"/>
          <c:val>
            <c:numRef>
              <c:f>'Sector Summary'!$C$7:$C$11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85</c:v>
                </c:pt>
                <c:pt idx="3">
                  <c:v>84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8-437A-BEF6-6051D82C5E08}"/>
            </c:ext>
          </c:extLst>
        </c:ser>
        <c:ser>
          <c:idx val="1"/>
          <c:order val="1"/>
          <c:tx>
            <c:v>Grey Zone</c:v>
          </c:tx>
          <c:spPr>
            <a:solidFill>
              <a:srgbClr val="EF9F27"/>
            </a:solidFill>
            <a:ln>
              <a:noFill/>
            </a:ln>
            <a:effectLst/>
          </c:spPr>
          <c:invertIfNegative val="0"/>
          <c:val>
            <c:numRef>
              <c:f>'Sector Summary'!$D$7:$D$11</c:f>
              <c:numCache>
                <c:formatCode>General</c:formatCode>
                <c:ptCount val="5"/>
                <c:pt idx="0">
                  <c:v>10</c:v>
                </c:pt>
                <c:pt idx="1">
                  <c:v>42</c:v>
                </c:pt>
                <c:pt idx="2">
                  <c:v>15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8-437A-BEF6-6051D82C5E08}"/>
            </c:ext>
          </c:extLst>
        </c:ser>
        <c:ser>
          <c:idx val="2"/>
          <c:order val="2"/>
          <c:tx>
            <c:v>Distress</c:v>
          </c:tx>
          <c:spPr>
            <a:solidFill>
              <a:srgbClr val="E24B4A"/>
            </a:solidFill>
            <a:ln>
              <a:noFill/>
            </a:ln>
            <a:effectLst/>
          </c:spPr>
          <c:invertIfNegative val="0"/>
          <c:val>
            <c:numRef>
              <c:f>'Sector Summary'!$E$7:$E$11</c:f>
              <c:numCache>
                <c:formatCode>General</c:formatCode>
                <c:ptCount val="5"/>
                <c:pt idx="0">
                  <c:v>90</c:v>
                </c:pt>
                <c:pt idx="1">
                  <c:v>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8-437A-BEF6-6051D82C5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8701312"/>
        <c:axId val="221395968"/>
      </c:barChart>
      <c:catAx>
        <c:axId val="238701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95968"/>
        <c:crosses val="autoZero"/>
        <c:auto val="1"/>
        <c:lblAlgn val="ctr"/>
        <c:lblOffset val="100"/>
        <c:noMultiLvlLbl val="0"/>
      </c:catAx>
      <c:valAx>
        <c:axId val="2213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0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11</xdr:row>
      <xdr:rowOff>91440</xdr:rowOff>
    </xdr:from>
    <xdr:to>
      <xdr:col>11</xdr:col>
      <xdr:colOff>502920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C10EB-CA68-2A3E-C3CB-F167449D8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0468-E8A1-4F21-92AA-8038FF20AB1E}">
  <dimension ref="A1:I30"/>
  <sheetViews>
    <sheetView tabSelected="1" workbookViewId="0">
      <selection activeCell="H17" sqref="H17"/>
    </sheetView>
  </sheetViews>
  <sheetFormatPr defaultRowHeight="14.4" x14ac:dyDescent="0.3"/>
  <cols>
    <col min="1" max="1" width="35.77734375" customWidth="1"/>
    <col min="2" max="2" width="20.77734375" customWidth="1"/>
  </cols>
  <sheetData>
    <row r="1" spans="1:9" ht="18" x14ac:dyDescent="0.35">
      <c r="A1" s="5" t="s">
        <v>0</v>
      </c>
      <c r="B1" s="5"/>
      <c r="C1" s="19"/>
      <c r="D1" s="19"/>
    </row>
    <row r="2" spans="1:9" x14ac:dyDescent="0.3">
      <c r="A2" s="17"/>
      <c r="B2" s="20"/>
      <c r="C2" s="18"/>
      <c r="D2" s="18"/>
    </row>
    <row r="3" spans="1:9" x14ac:dyDescent="0.3">
      <c r="A3" s="7" t="s">
        <v>1</v>
      </c>
      <c r="B3" s="6"/>
      <c r="C3" s="18"/>
      <c r="D3" s="18"/>
    </row>
    <row r="4" spans="1:9" x14ac:dyDescent="0.3">
      <c r="A4" s="6" t="s">
        <v>2</v>
      </c>
      <c r="B4" s="6" t="s">
        <v>24</v>
      </c>
      <c r="C4" s="18"/>
      <c r="D4" s="18"/>
      <c r="G4" s="18"/>
    </row>
    <row r="5" spans="1:9" x14ac:dyDescent="0.3">
      <c r="A5" s="6" t="s">
        <v>3</v>
      </c>
      <c r="B5" s="6" t="s">
        <v>25</v>
      </c>
      <c r="C5" s="18"/>
      <c r="D5" s="18"/>
    </row>
    <row r="6" spans="1:9" x14ac:dyDescent="0.3">
      <c r="A6" s="6" t="s">
        <v>4</v>
      </c>
      <c r="B6" s="6">
        <v>2024</v>
      </c>
      <c r="C6" s="18"/>
      <c r="D6" s="18"/>
    </row>
    <row r="7" spans="1:9" x14ac:dyDescent="0.3">
      <c r="A7" s="17"/>
      <c r="B7" s="20"/>
      <c r="C7" s="18"/>
      <c r="D7" s="18"/>
      <c r="E7" s="18"/>
    </row>
    <row r="8" spans="1:9" x14ac:dyDescent="0.3">
      <c r="A8" s="7" t="s">
        <v>5</v>
      </c>
      <c r="B8" s="16"/>
      <c r="C8" s="22"/>
      <c r="D8" s="18"/>
    </row>
    <row r="9" spans="1:9" x14ac:dyDescent="0.3">
      <c r="A9" s="6" t="s">
        <v>6</v>
      </c>
      <c r="B9" s="3">
        <v>88086</v>
      </c>
      <c r="C9" s="18"/>
      <c r="D9" s="18"/>
    </row>
    <row r="10" spans="1:9" x14ac:dyDescent="0.3">
      <c r="A10" s="6" t="s">
        <v>7</v>
      </c>
      <c r="B10" s="3">
        <v>8764</v>
      </c>
      <c r="C10" s="18"/>
      <c r="D10" s="18"/>
    </row>
    <row r="11" spans="1:9" x14ac:dyDescent="0.3">
      <c r="A11" s="6" t="s">
        <v>8</v>
      </c>
      <c r="B11" s="3">
        <v>12586</v>
      </c>
      <c r="C11" s="18"/>
      <c r="D11" s="18"/>
    </row>
    <row r="12" spans="1:9" x14ac:dyDescent="0.3">
      <c r="A12" s="6" t="s">
        <v>9</v>
      </c>
      <c r="B12" s="3">
        <v>10642</v>
      </c>
      <c r="C12" s="18"/>
      <c r="D12" s="18"/>
    </row>
    <row r="13" spans="1:9" x14ac:dyDescent="0.3">
      <c r="A13" s="6" t="s">
        <v>10</v>
      </c>
      <c r="B13" s="3">
        <v>64858</v>
      </c>
      <c r="C13" s="18"/>
      <c r="D13" s="18"/>
    </row>
    <row r="14" spans="1:9" x14ac:dyDescent="0.3">
      <c r="A14" s="6" t="s">
        <v>11</v>
      </c>
      <c r="B14" s="3">
        <v>9058</v>
      </c>
      <c r="C14" s="18"/>
      <c r="D14" s="18"/>
    </row>
    <row r="15" spans="1:9" x14ac:dyDescent="0.3">
      <c r="A15" s="6" t="s">
        <v>12</v>
      </c>
      <c r="B15" s="3">
        <v>1150000</v>
      </c>
      <c r="C15" s="18"/>
      <c r="D15" s="18"/>
      <c r="I15" s="18"/>
    </row>
    <row r="16" spans="1:9" x14ac:dyDescent="0.3">
      <c r="A16" s="17"/>
      <c r="B16" s="21"/>
      <c r="C16" s="18"/>
      <c r="D16" s="18"/>
    </row>
    <row r="17" spans="1:8" x14ac:dyDescent="0.3">
      <c r="A17" s="7" t="s">
        <v>13</v>
      </c>
      <c r="B17" s="17"/>
      <c r="C17" s="22"/>
      <c r="D17" s="18"/>
    </row>
    <row r="18" spans="1:8" x14ac:dyDescent="0.3">
      <c r="A18" s="6" t="s">
        <v>14</v>
      </c>
      <c r="B18" s="3">
        <v>9220</v>
      </c>
      <c r="C18" s="18"/>
      <c r="D18" s="18"/>
      <c r="E18" s="18"/>
    </row>
    <row r="19" spans="1:8" x14ac:dyDescent="0.3">
      <c r="A19" s="6" t="s">
        <v>15</v>
      </c>
      <c r="B19" s="3">
        <v>6759</v>
      </c>
      <c r="C19" s="18"/>
      <c r="D19" s="18"/>
      <c r="E19" s="18"/>
    </row>
    <row r="20" spans="1:8" x14ac:dyDescent="0.3">
      <c r="A20" s="17"/>
      <c r="B20" s="20"/>
      <c r="C20" s="18"/>
      <c r="D20" s="18"/>
    </row>
    <row r="21" spans="1:8" x14ac:dyDescent="0.3">
      <c r="A21" s="7" t="s">
        <v>16</v>
      </c>
      <c r="B21" s="6"/>
      <c r="C21" s="18"/>
      <c r="D21" s="18"/>
    </row>
    <row r="22" spans="1:8" x14ac:dyDescent="0.3">
      <c r="A22" s="6" t="s">
        <v>17</v>
      </c>
      <c r="B22" s="6">
        <f>(B10-B11)/B9</f>
        <v>-4.3389414889993871E-2</v>
      </c>
      <c r="C22" s="18"/>
      <c r="D22" s="18"/>
      <c r="H22" s="18"/>
    </row>
    <row r="23" spans="1:8" x14ac:dyDescent="0.3">
      <c r="A23" s="6" t="s">
        <v>21</v>
      </c>
      <c r="B23" s="6">
        <f>B14/B9</f>
        <v>0.1028313239334287</v>
      </c>
      <c r="C23" s="18"/>
      <c r="D23" s="18"/>
    </row>
    <row r="24" spans="1:8" x14ac:dyDescent="0.3">
      <c r="A24" s="6" t="s">
        <v>18</v>
      </c>
      <c r="B24" s="6">
        <f>B19/B9</f>
        <v>7.6731830256794503E-2</v>
      </c>
      <c r="C24" s="18"/>
      <c r="D24" s="18"/>
    </row>
    <row r="25" spans="1:8" x14ac:dyDescent="0.3">
      <c r="A25" s="6" t="s">
        <v>20</v>
      </c>
      <c r="B25" s="6">
        <f>B15/B13</f>
        <v>17.731043202072218</v>
      </c>
      <c r="C25" s="18"/>
      <c r="D25" s="18"/>
    </row>
    <row r="26" spans="1:8" x14ac:dyDescent="0.3">
      <c r="A26" s="6" t="s">
        <v>19</v>
      </c>
      <c r="B26" s="6">
        <f>B18/B9</f>
        <v>0.10467043571055559</v>
      </c>
      <c r="C26" s="18"/>
      <c r="D26" s="18"/>
    </row>
    <row r="27" spans="1:8" x14ac:dyDescent="0.3">
      <c r="A27" s="17"/>
      <c r="B27" s="20"/>
      <c r="C27" s="18"/>
      <c r="D27" s="18"/>
    </row>
    <row r="28" spans="1:8" ht="18" x14ac:dyDescent="0.35">
      <c r="A28" s="7" t="s">
        <v>22</v>
      </c>
      <c r="B28" s="8">
        <f>1.2*B22 + 1.4*B23 + 3.3*B24 + 0.6*B25 + 1*B26</f>
        <v>11.088407952440114</v>
      </c>
      <c r="C28" s="18"/>
      <c r="D28" s="18"/>
    </row>
    <row r="29" spans="1:8" x14ac:dyDescent="0.3">
      <c r="A29" s="17"/>
      <c r="B29" s="20"/>
      <c r="C29" s="18"/>
      <c r="D29" s="18"/>
    </row>
    <row r="30" spans="1:8" ht="15.6" x14ac:dyDescent="0.3">
      <c r="A30" s="7" t="s">
        <v>23</v>
      </c>
      <c r="B30" s="9" t="str">
        <f>IF(B28&gt;2.99,"SAFE ✅",IF(B28&gt;=1.81,"GREY ZONE ⚠️","DISTRESS 🔴"))</f>
        <v>SAFE ✅</v>
      </c>
      <c r="C30" s="18"/>
      <c r="D30" s="18"/>
    </row>
  </sheetData>
  <mergeCells count="1">
    <mergeCell ref="A1:D1"/>
  </mergeCells>
  <conditionalFormatting sqref="B30">
    <cfRule type="expression" dxfId="2" priority="1">
      <formula>ISNUMBER(SEARCH("DISTRESS",B30))</formula>
    </cfRule>
    <cfRule type="expression" dxfId="1" priority="2">
      <formula>ISNUMBER(SEARCH("GREY",B30))</formula>
    </cfRule>
    <cfRule type="expression" dxfId="0" priority="3">
      <formula>ISNUMBER(SEARCH("SAFE",B30))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55E1-F7CC-4FF9-B2B0-11965567C404}">
  <dimension ref="A1:G10"/>
  <sheetViews>
    <sheetView workbookViewId="0">
      <selection activeCell="C15" sqref="C15"/>
    </sheetView>
  </sheetViews>
  <sheetFormatPr defaultRowHeight="14.4" x14ac:dyDescent="0.3"/>
  <cols>
    <col min="1" max="1" width="25.77734375" customWidth="1"/>
    <col min="2" max="6" width="12.77734375" customWidth="1"/>
    <col min="7" max="7" width="20.77734375" customWidth="1"/>
  </cols>
  <sheetData>
    <row r="1" spans="1:7" ht="18" x14ac:dyDescent="0.35">
      <c r="A1" s="1" t="s">
        <v>26</v>
      </c>
      <c r="B1" s="1"/>
      <c r="C1" s="1"/>
      <c r="D1" s="1"/>
      <c r="E1" s="1"/>
      <c r="F1" s="1"/>
      <c r="G1" s="1"/>
    </row>
    <row r="3" spans="1:7" x14ac:dyDescent="0.3">
      <c r="A3" s="10" t="s">
        <v>27</v>
      </c>
      <c r="B3" s="11" t="s">
        <v>25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</row>
    <row r="4" spans="1:7" x14ac:dyDescent="0.3">
      <c r="A4" s="6" t="s">
        <v>33</v>
      </c>
      <c r="B4" s="6">
        <v>9.33</v>
      </c>
      <c r="C4" s="6">
        <v>15.4</v>
      </c>
      <c r="D4" s="6">
        <v>37.299999999999997</v>
      </c>
      <c r="E4" s="6">
        <v>24.16</v>
      </c>
      <c r="F4" s="6">
        <v>13.69</v>
      </c>
      <c r="G4" s="6" t="s">
        <v>40</v>
      </c>
    </row>
    <row r="5" spans="1:7" x14ac:dyDescent="0.3">
      <c r="A5" s="6" t="s">
        <v>34</v>
      </c>
      <c r="B5" s="6">
        <v>9.4700000000000006</v>
      </c>
      <c r="C5" s="6">
        <v>1.7</v>
      </c>
      <c r="D5" s="6">
        <v>0.15</v>
      </c>
      <c r="E5" s="6">
        <v>0.1</v>
      </c>
      <c r="F5" s="6">
        <v>0.32</v>
      </c>
      <c r="G5" s="6" t="s">
        <v>41</v>
      </c>
    </row>
    <row r="6" spans="1:7" x14ac:dyDescent="0.3">
      <c r="A6" s="6" t="s">
        <v>35</v>
      </c>
      <c r="B6" s="6">
        <v>13.82</v>
      </c>
      <c r="C6" s="6">
        <v>10.14</v>
      </c>
      <c r="D6" s="6">
        <v>15.96</v>
      </c>
      <c r="E6" s="6">
        <v>15.48</v>
      </c>
      <c r="F6" s="6">
        <v>12.72</v>
      </c>
      <c r="G6" s="6" t="s">
        <v>42</v>
      </c>
    </row>
    <row r="7" spans="1:7" x14ac:dyDescent="0.3">
      <c r="A7" s="6" t="s">
        <v>36</v>
      </c>
      <c r="B7" s="6">
        <v>0.45</v>
      </c>
      <c r="C7" s="6">
        <v>3.97</v>
      </c>
      <c r="D7" s="6">
        <v>374.84</v>
      </c>
      <c r="E7" s="6">
        <v>193.54</v>
      </c>
      <c r="F7" s="6">
        <v>1326.74</v>
      </c>
      <c r="G7" s="6" t="s">
        <v>43</v>
      </c>
    </row>
    <row r="8" spans="1:7" x14ac:dyDescent="0.3">
      <c r="A8" s="6" t="s">
        <v>37</v>
      </c>
      <c r="B8" s="6">
        <v>1.38</v>
      </c>
      <c r="C8" s="6">
        <v>12.19</v>
      </c>
      <c r="D8" s="6">
        <v>106.39</v>
      </c>
      <c r="E8" s="6">
        <v>279.39999999999998</v>
      </c>
      <c r="F8" s="6">
        <v>97.05</v>
      </c>
      <c r="G8" s="6" t="s">
        <v>44</v>
      </c>
    </row>
    <row r="9" spans="1:7" x14ac:dyDescent="0.3">
      <c r="A9" s="6" t="s">
        <v>38</v>
      </c>
      <c r="B9" s="6">
        <v>0.1</v>
      </c>
      <c r="C9" s="6">
        <v>0.18</v>
      </c>
      <c r="D9" s="6">
        <v>0.42</v>
      </c>
      <c r="E9" s="6">
        <v>0.38</v>
      </c>
      <c r="F9" s="6">
        <v>0.28000000000000003</v>
      </c>
      <c r="G9" s="6" t="s">
        <v>45</v>
      </c>
    </row>
    <row r="10" spans="1:7" x14ac:dyDescent="0.3">
      <c r="A10" s="6" t="s">
        <v>39</v>
      </c>
      <c r="B10" s="6">
        <v>8.1999999999999993</v>
      </c>
      <c r="C10" s="6">
        <v>12.5</v>
      </c>
      <c r="D10" s="6">
        <v>7.8</v>
      </c>
      <c r="E10" s="6">
        <v>11.3</v>
      </c>
      <c r="F10" s="6">
        <v>9.4</v>
      </c>
      <c r="G10" s="6" t="s">
        <v>46</v>
      </c>
    </row>
  </sheetData>
  <mergeCells count="1">
    <mergeCell ref="A1:G1"/>
  </mergeCells>
  <conditionalFormatting sqref="B4:F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F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F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:F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:F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F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7B73-D63F-42B5-97D9-2FD30A55D8AA}">
  <dimension ref="A1:F29"/>
  <sheetViews>
    <sheetView workbookViewId="0">
      <selection activeCell="D31" sqref="D31"/>
    </sheetView>
  </sheetViews>
  <sheetFormatPr defaultRowHeight="14.4" x14ac:dyDescent="0.3"/>
  <cols>
    <col min="1" max="1" width="35.77734375" customWidth="1"/>
    <col min="2" max="6" width="15.77734375" customWidth="1"/>
  </cols>
  <sheetData>
    <row r="1" spans="1:6" ht="15.6" x14ac:dyDescent="0.3">
      <c r="A1" s="4" t="s">
        <v>47</v>
      </c>
      <c r="B1" s="4"/>
      <c r="C1" s="4"/>
      <c r="D1" s="4"/>
      <c r="E1" s="4"/>
      <c r="F1" s="4"/>
    </row>
    <row r="3" spans="1:6" x14ac:dyDescent="0.3">
      <c r="A3" t="s">
        <v>48</v>
      </c>
    </row>
    <row r="5" spans="1:6" x14ac:dyDescent="0.3">
      <c r="A5" s="2" t="s">
        <v>49</v>
      </c>
    </row>
    <row r="6" spans="1:6" x14ac:dyDescent="0.3">
      <c r="A6" s="11" t="s">
        <v>3</v>
      </c>
      <c r="B6" s="11" t="s">
        <v>50</v>
      </c>
      <c r="C6" s="11" t="s">
        <v>51</v>
      </c>
      <c r="D6" s="11" t="s">
        <v>52</v>
      </c>
      <c r="E6" s="11" t="s">
        <v>53</v>
      </c>
      <c r="F6" s="11" t="s">
        <v>54</v>
      </c>
    </row>
    <row r="7" spans="1:6" x14ac:dyDescent="0.3">
      <c r="A7" s="6" t="s">
        <v>25</v>
      </c>
      <c r="B7" s="6">
        <v>100</v>
      </c>
      <c r="C7" s="6">
        <v>0</v>
      </c>
      <c r="D7" s="6">
        <v>10</v>
      </c>
      <c r="E7" s="6">
        <v>90</v>
      </c>
      <c r="F7" s="12" t="s">
        <v>55</v>
      </c>
    </row>
    <row r="8" spans="1:6" x14ac:dyDescent="0.3">
      <c r="A8" s="6" t="s">
        <v>28</v>
      </c>
      <c r="B8" s="6">
        <v>100</v>
      </c>
      <c r="C8" s="6">
        <v>25</v>
      </c>
      <c r="D8" s="6">
        <v>42</v>
      </c>
      <c r="E8" s="6">
        <v>33</v>
      </c>
      <c r="F8" s="13" t="s">
        <v>56</v>
      </c>
    </row>
    <row r="9" spans="1:6" x14ac:dyDescent="0.3">
      <c r="A9" s="6" t="s">
        <v>29</v>
      </c>
      <c r="B9" s="6">
        <v>100</v>
      </c>
      <c r="C9" s="6">
        <v>85</v>
      </c>
      <c r="D9" s="6">
        <v>15</v>
      </c>
      <c r="E9" s="6">
        <v>0</v>
      </c>
      <c r="F9" s="14" t="s">
        <v>57</v>
      </c>
    </row>
    <row r="10" spans="1:6" x14ac:dyDescent="0.3">
      <c r="A10" s="6" t="s">
        <v>30</v>
      </c>
      <c r="B10" s="6">
        <v>100</v>
      </c>
      <c r="C10" s="6">
        <v>84</v>
      </c>
      <c r="D10" s="6">
        <v>15</v>
      </c>
      <c r="E10" s="6">
        <v>0</v>
      </c>
      <c r="F10" s="14" t="s">
        <v>57</v>
      </c>
    </row>
    <row r="11" spans="1:6" x14ac:dyDescent="0.3">
      <c r="A11" s="6" t="s">
        <v>31</v>
      </c>
      <c r="B11" s="6">
        <v>100</v>
      </c>
      <c r="C11" s="6">
        <v>78</v>
      </c>
      <c r="D11" s="6">
        <v>22</v>
      </c>
      <c r="E11" s="6">
        <v>0</v>
      </c>
      <c r="F11" s="14" t="s">
        <v>57</v>
      </c>
    </row>
    <row r="13" spans="1:6" x14ac:dyDescent="0.3">
      <c r="A13" s="2" t="s">
        <v>58</v>
      </c>
    </row>
    <row r="14" spans="1:6" x14ac:dyDescent="0.3">
      <c r="A14" t="s">
        <v>59</v>
      </c>
    </row>
    <row r="15" spans="1:6" x14ac:dyDescent="0.3">
      <c r="A15" t="s">
        <v>60</v>
      </c>
    </row>
    <row r="16" spans="1:6" x14ac:dyDescent="0.3">
      <c r="A16" t="s">
        <v>61</v>
      </c>
    </row>
    <row r="17" spans="1:5" x14ac:dyDescent="0.3">
      <c r="A17" t="s">
        <v>62</v>
      </c>
    </row>
    <row r="18" spans="1:5" x14ac:dyDescent="0.3">
      <c r="A18" t="s">
        <v>63</v>
      </c>
    </row>
    <row r="19" spans="1:5" x14ac:dyDescent="0.3">
      <c r="A19" t="s">
        <v>64</v>
      </c>
    </row>
    <row r="21" spans="1:5" x14ac:dyDescent="0.3">
      <c r="A21" s="2" t="s">
        <v>65</v>
      </c>
    </row>
    <row r="22" spans="1:5" x14ac:dyDescent="0.3">
      <c r="A22" s="6" t="s">
        <v>66</v>
      </c>
      <c r="B22" s="6" t="s">
        <v>67</v>
      </c>
      <c r="C22" s="6" t="s">
        <v>68</v>
      </c>
    </row>
    <row r="23" spans="1:5" x14ac:dyDescent="0.3">
      <c r="A23" s="6" t="s">
        <v>69</v>
      </c>
      <c r="B23" s="15">
        <v>0.77</v>
      </c>
      <c r="C23" s="6" t="s">
        <v>72</v>
      </c>
    </row>
    <row r="24" spans="1:5" x14ac:dyDescent="0.3">
      <c r="A24" s="6" t="s">
        <v>70</v>
      </c>
      <c r="B24" s="15">
        <v>0.84</v>
      </c>
      <c r="C24" s="6" t="s">
        <v>73</v>
      </c>
    </row>
    <row r="25" spans="1:5" x14ac:dyDescent="0.3">
      <c r="A25" s="14" t="s">
        <v>71</v>
      </c>
      <c r="B25" s="25">
        <v>0.91</v>
      </c>
      <c r="C25" s="24" t="s">
        <v>74</v>
      </c>
      <c r="D25" s="23"/>
      <c r="E25" s="24"/>
    </row>
    <row r="26" spans="1:5" x14ac:dyDescent="0.3">
      <c r="D26" s="21"/>
      <c r="E26" s="21"/>
    </row>
    <row r="28" spans="1:5" x14ac:dyDescent="0.3">
      <c r="B28" s="18"/>
    </row>
    <row r="29" spans="1:5" x14ac:dyDescent="0.3">
      <c r="C29" s="18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Z-Score Calculator</vt:lpstr>
      <vt:lpstr>Ratio Scorecard</vt:lpstr>
      <vt:lpstr>Sector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m</dc:creator>
  <cp:lastModifiedBy>navaneeth m</cp:lastModifiedBy>
  <dcterms:created xsi:type="dcterms:W3CDTF">2026-07-12T14:30:46Z</dcterms:created>
  <dcterms:modified xsi:type="dcterms:W3CDTF">2026-07-12T16:28:44Z</dcterms:modified>
</cp:coreProperties>
</file>